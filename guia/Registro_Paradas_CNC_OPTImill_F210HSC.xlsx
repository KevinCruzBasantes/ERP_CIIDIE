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KPIs" sheetId="1" state="visible" r:id="rId3"/>
    <sheet name="Registro_Paradas" sheetId="2" state="visible" r:id="rId4"/>
    <sheet name="Diccionario_Codigos" sheetId="3" state="visible" r:id="rId5"/>
    <sheet name="Analisis_Pare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<sst xmlns="http://schemas.openxmlformats.org/spreadsheetml/2006/main" count="141" uniqueCount="109">
  <si>
    <t xml:space="preserve">INFORME DE PARADAS DE MÁQUINA — CENTRO DE MECANIZADO CNC</t>
  </si>
  <si>
    <t xml:space="preserve">OPTIMUM OPTImill F 210 HSC  |  Control: Siemens Sinumerik 828D  |  Taller Mecánico Universitario</t>
  </si>
  <si>
    <t xml:space="preserve">⚙  PARÁMETROS BASE (INPUTS)</t>
  </si>
  <si>
    <t xml:space="preserve">📊  KPIs DE MANTENIMIENTO — ECUACIONES NORMALIZADAS</t>
  </si>
  <si>
    <t xml:space="preserve">Período de Análisis (Inicio)</t>
  </si>
  <si>
    <t xml:space="preserve">01/01/2025</t>
  </si>
  <si>
    <t xml:space="preserve">Período de Análisis (Fin)</t>
  </si>
  <si>
    <t xml:space="preserve">31/12/2025</t>
  </si>
  <si>
    <t xml:space="preserve">Tiempo de Operación Real (TOP)</t>
  </si>
  <si>
    <t xml:space="preserve">Ecuación: TOP = T_Carga − PP − PNP</t>
  </si>
  <si>
    <t xml:space="preserve">min</t>
  </si>
  <si>
    <t xml:space="preserve">Días Hábiles en el Período</t>
  </si>
  <si>
    <t xml:space="preserve">Disponibilidad (A)</t>
  </si>
  <si>
    <t xml:space="preserve">A = TOP / T_Carga</t>
  </si>
  <si>
    <t xml:space="preserve">%</t>
  </si>
  <si>
    <t xml:space="preserve">Horas de Turno Diario</t>
  </si>
  <si>
    <t xml:space="preserve">Nº de Fallas (No Planificadas)</t>
  </si>
  <si>
    <t xml:space="preserve">Count eventos PNP</t>
  </si>
  <si>
    <t xml:space="preserve">fallas</t>
  </si>
  <si>
    <t xml:space="preserve">Tiempo de Carga Total (min)</t>
  </si>
  <si>
    <t xml:space="preserve">MTBF  (Mean Time Between Failures)</t>
  </si>
  <si>
    <t xml:space="preserve">MTBF = TOP / Nº Fallas</t>
  </si>
  <si>
    <t xml:space="preserve">min/falla</t>
  </si>
  <si>
    <t xml:space="preserve">Paradas Planificadas (PP) min</t>
  </si>
  <si>
    <t xml:space="preserve">MTTR  (Mean Time To Repair)</t>
  </si>
  <si>
    <t xml:space="preserve">MTTR = PNP_total / Nº Fallas</t>
  </si>
  <si>
    <t xml:space="preserve">Paradas No Planificadas (min)</t>
  </si>
  <si>
    <t xml:space="preserve">Rendimiento (P)  [parámetro manual]</t>
  </si>
  <si>
    <t xml:space="preserve">P = Unidades_reales / Unidades_teóricas</t>
  </si>
  <si>
    <t xml:space="preserve">Calidad (Q)  [parámetro manual]</t>
  </si>
  <si>
    <t xml:space="preserve">Q = Piezas_OK / Total_producidas</t>
  </si>
  <si>
    <t xml:space="preserve">OEE  (Disponibilidad × Rendimiento × Calidad)</t>
  </si>
  <si>
    <t xml:space="preserve">OEE = A × P × Q  (Norma ISO 22400)</t>
  </si>
  <si>
    <t xml:space="preserve">📋  RESUMEN DE PARADAS POR CÓDIGO (Top 8)</t>
  </si>
  <si>
    <t xml:space="preserve">Código</t>
  </si>
  <si>
    <t xml:space="preserve">Descripción</t>
  </si>
  <si>
    <t xml:space="preserve">Frec.</t>
  </si>
  <si>
    <t xml:space="preserve">Min. Total</t>
  </si>
  <si>
    <t xml:space="preserve">% del Total PNP</t>
  </si>
  <si>
    <t xml:space="preserve">PNP-M01</t>
  </si>
  <si>
    <t xml:space="preserve">PNP-M02</t>
  </si>
  <si>
    <t xml:space="preserve">PNP-M03</t>
  </si>
  <si>
    <t xml:space="preserve">PNP-N01</t>
  </si>
  <si>
    <t xml:space="preserve">PNP-L01</t>
  </si>
  <si>
    <t xml:space="preserve">PNP-R01</t>
  </si>
  <si>
    <t xml:space="preserve">PNP-E01</t>
  </si>
  <si>
    <t xml:space="preserve">PNP-O01</t>
  </si>
  <si>
    <t xml:space="preserve">📈  ÁREA RESERVADA PARA GRÁFICOS: Insertar manualmente → (1) Gráfico Columnas Apiladas: PP vs PNP por mes  |  (2) Velocímetro/Indicador OEE  |  (3) Barras MTBF/MTTR  |  (4) Pareto de Fallas [ver hoja Analisis_Pareto]</t>
  </si>
  <si>
    <t xml:space="preserve">REGISTRO DE PARADAS — OPTImill F 210 HSC  |  Control Sinumerik 828D</t>
  </si>
  <si>
    <t xml:space="preserve">ID Evento</t>
  </si>
  <si>
    <t xml:space="preserve">Fecha
(DD/MM/AAAA)</t>
  </si>
  <si>
    <t xml:space="preserve">Hora Inicio
(HH:MM)</t>
  </si>
  <si>
    <t xml:space="preserve">Hora Fin
(HH:MM)</t>
  </si>
  <si>
    <t xml:space="preserve">Tiempo Detenido
(Minutos)</t>
  </si>
  <si>
    <t xml:space="preserve">Tipo de Parada</t>
  </si>
  <si>
    <t xml:space="preserve">Código de Parada</t>
  </si>
  <si>
    <t xml:space="preserve">Descripción Técnica / Observaciones</t>
  </si>
  <si>
    <t xml:space="preserve">TOTALES</t>
  </si>
  <si>
    <t xml:space="preserve">INSTRUCCIONES: Ingrese Fecha en col B, Hora Inicio (C) y Fin (D) en formato HH:MM. Las columnas A, E, F se calculan automáticamente. Seleccione el código en col G desde el desplegable.</t>
  </si>
  <si>
    <t xml:space="preserve">DICCIONARIO DE CÓDIGOS DE PARADA — OPTImill F 210 HSC</t>
  </si>
  <si>
    <t xml:space="preserve">Categoría / Subsistema</t>
  </si>
  <si>
    <t xml:space="preserve">Causa Raíz Común</t>
  </si>
  <si>
    <t xml:space="preserve">Tipo</t>
  </si>
  <si>
    <t xml:space="preserve">── PARADAS PLANIFICADAS (PP) ──</t>
  </si>
  <si>
    <t xml:space="preserve">PP01</t>
  </si>
  <si>
    <t xml:space="preserve">Setup / Configuración de Máquina</t>
  </si>
  <si>
    <t xml:space="preserve">Cambio de programa CNC, ajuste de origen pieza (WCS), calibración de herramientas en Sinumerik 828D</t>
  </si>
  <si>
    <t xml:space="preserve">Planificada</t>
  </si>
  <si>
    <t xml:space="preserve">PP02</t>
  </si>
  <si>
    <t xml:space="preserve">Carga / Descarga de Pieza</t>
  </si>
  <si>
    <t xml:space="preserve">Amarre y alineación de la pieza en la mesa 900×520 mm, uso de indicador de reloj</t>
  </si>
  <si>
    <t xml:space="preserve">PP03</t>
  </si>
  <si>
    <t xml:space="preserve">Limpieza y 5S del Área</t>
  </si>
  <si>
    <t xml:space="preserve">Limpieza de virutas, refrigerante y área de trabajo; revisión nivel aceite lubricación centralizada</t>
  </si>
  <si>
    <t xml:space="preserve">PP04</t>
  </si>
  <si>
    <t xml:space="preserve">Mantenimiento Preventivo Prog.</t>
  </si>
  <si>
    <t xml:space="preserve">Engrase guías lineales, verificación presión neumática (5-7 bar), cambio filtros refrigerante 370 L</t>
  </si>
  <si>
    <t xml:space="preserve">PP05</t>
  </si>
  <si>
    <t xml:space="preserve">Docencia / Explicación Teórica</t>
  </si>
  <si>
    <t xml:space="preserve">Pausa para instrucción académica, demostración de ciclos de mecanizado, revisión de código G/M</t>
  </si>
  <si>
    <t xml:space="preserve">── PARADAS NO PLANIFICADAS — MECÁNICAS / ELÉCTRICAS (PNP) ──</t>
  </si>
  <si>
    <t xml:space="preserve">Husillo / Spindle (Inline Motor)</t>
  </si>
  <si>
    <t xml:space="preserve">Sobrecalentamiento &gt;75°C, vibración excesiva, falla rodamientos husillo SK40 DIN 69871 (12.000 rpm máx.)</t>
  </si>
  <si>
    <t xml:space="preserve">No Planificada</t>
  </si>
  <si>
    <t xml:space="preserve">Ejes y Guías Lineales X / Y / Z</t>
  </si>
  <si>
    <t xml:space="preserve">Desviación posicionamiento &gt;±0,005 mm, holgura husillo de bolas C3, falla servo ejes (X:800 / Y:500 / Z:500 mm)</t>
  </si>
  <si>
    <t xml:space="preserve">ATC — Cambiador Automático 30 pos.</t>
  </si>
  <si>
    <t xml:space="preserve">Falla brazos dobles en cambio T-T (tiempo estándar 2 s), colisión carrusel, sensor de posición herramienta</t>
  </si>
  <si>
    <t xml:space="preserve">Sistema Neumático — Presión &lt; 6 bar</t>
  </si>
  <si>
    <t xml:space="preserve">Caída de presión en línea neumática (rango operación 5-7 bar), fuga en mangueras, manómetro defectuoso</t>
  </si>
  <si>
    <t xml:space="preserve">Lubricación Centralizada Automática</t>
  </si>
  <si>
    <t xml:space="preserve">Falta de lubricante en depósito, fallo bomba centralizadora, bloqueo en distribuidores de aceite</t>
  </si>
  <si>
    <t xml:space="preserve">Extractor Virutas / Refrigerante</t>
  </si>
  <si>
    <t xml:space="preserve">Obstrucción en extractor de cinta, fallo bomba refrigerante 3×1,27 kW (caudal 155 L/min), nivel tanque 370 L bajo</t>
  </si>
  <si>
    <t xml:space="preserve">Parada Emergencia / Seguridad Puertas</t>
  </si>
  <si>
    <t xml:space="preserve">Activación E-STOP, apertura puertas con ciclo activo, fallo relé seguridad, alarma Sinumerik 828D</t>
  </si>
  <si>
    <t xml:space="preserve">Error Programación / Código G</t>
  </si>
  <si>
    <t xml:space="preserve">Error de sintaxis CNC en Sinumerik 828D (SW SO28x), colisión simulada, límites de recorrido software excedidos</t>
  </si>
  <si>
    <t xml:space="preserve">ANÁLISIS DE PARETO — PARADAS NO PLANIFICADAS  |  OPTImill F 210 HSC</t>
  </si>
  <si>
    <t xml:space="preserve">Tabla de frecuencias auto-calculada desde Registro_Paradas. Seleccionar A3:E11 → Insertar → Gráfico Combinado (Barras + Línea) para obtener el Diagrama de Pareto.</t>
  </si>
  <si>
    <t xml:space="preserve">Código
PNP</t>
  </si>
  <si>
    <t xml:space="preserve">Descripción
Subsistema</t>
  </si>
  <si>
    <t xml:space="preserve">Frecuencia
(N° Eventos)</t>
  </si>
  <si>
    <t xml:space="preserve">Tiempo Total
(Minutos)</t>
  </si>
  <si>
    <t xml:space="preserve">% Individual
del Tiempo PNP</t>
  </si>
  <si>
    <t xml:space="preserve">% Acumulado
(Curva Pareto)</t>
  </si>
  <si>
    <t xml:space="preserve">TOTAL</t>
  </si>
  <si>
    <t xml:space="preserve">REGLA DE PARETO 80/20: Los códigos con % Acumulado ≤ 80% son las causas vitales. Priorizar su análisis en el plan de mantenimiento correctivo.</t>
  </si>
  <si>
    <t xml:space="preserve">INSTRUCCIÓN GRÁFICO DE PARETO: (1) Seleccionar rango A3:A11 y D3:F11 → Insertar → Gráfico Combinado. (2) Serie 'Tiempo Total (min)' → tipo Columna Agrupada, eje principal. (3) Serie '% Acumulado' → tipo Línea con marcadores, eje secundario (0%-100%). (4) Agregar línea de referencia al 80% en eje secundario.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</si>
</sst>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/mm/yyyy"/>
    <numFmt numFmtId="168" formatCode="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D354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FFFDE7"/>
      </patternFill>
    </fill>
    <fill>
      <patternFill patternType="solid">
        <fgColor rgb="FFD6E4F0"/>
        <bgColor rgb="FFD5E8D4"/>
      </patternFill>
    </fill>
    <fill>
      <patternFill patternType="solid">
        <fgColor rgb="FFFFFFFF"/>
        <bgColor rgb="FFFFFDE7"/>
      </patternFill>
    </fill>
    <fill>
      <patternFill patternType="solid">
        <fgColor rgb="FFD35400"/>
        <bgColor rgb="FF993300"/>
      </patternFill>
    </fill>
    <fill>
      <patternFill patternType="solid">
        <fgColor rgb="FFFFF9C4"/>
        <bgColor rgb="FFFFF3CD"/>
      </patternFill>
    </fill>
    <fill>
      <patternFill patternType="solid">
        <fgColor rgb="FFFFFDE7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D5E8D4"/>
        <bgColor rgb="FFD6E4F0"/>
      </patternFill>
    </fill>
    <fill>
      <patternFill patternType="solid">
        <fgColor rgb="FFFFE6CC"/>
        <bgColor rgb="FFFFF3CD"/>
      </patternFill>
    </fill>
    <fill>
      <patternFill patternType="solid">
        <fgColor rgb="FFFFF3CD"/>
        <bgColor rgb="FFFFF9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E7"/>
      <rgbColor rgb="FFD5E8D4"/>
      <rgbColor rgb="FFFFF3CD"/>
      <rgbColor rgb="FF99CCFF"/>
      <rgbColor rgb="FFFF99CC"/>
      <rgbColor rgb="FFCC99FF"/>
      <rgbColor rgb="FFFFE6CC"/>
      <rgbColor rgb="FF2E74B5"/>
      <rgbColor rgb="FF33CCCC"/>
      <rgbColor rgb="FF99CC00"/>
      <rgbColor rgb="FFFFCC00"/>
      <rgbColor rgb="FFFF9900"/>
      <rgbColor rgb="FFD35400"/>
      <rgbColor rgb="FF555555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3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9.5" hidden="false" customHeight="true" outlineLevel="0" collapsed="false">
      <c r="A4" s="3" t="s">
        <v>2</v>
      </c>
      <c r="B4" s="3"/>
      <c r="C4" s="3"/>
      <c r="F4" s="4" t="s">
        <v>3</v>
      </c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B5" s="5" t="s">
        <v>4</v>
      </c>
      <c r="C5" s="5"/>
      <c r="D5" s="6" t="s">
        <v>5</v>
      </c>
    </row>
    <row r="6" customFormat="false" ht="21.75" hidden="false" customHeight="true" outlineLevel="0" collapsed="false">
      <c r="B6" s="5" t="s">
        <v>6</v>
      </c>
      <c r="C6" s="5"/>
      <c r="D6" s="6" t="s">
        <v>7</v>
      </c>
      <c r="F6" s="7" t="s">
        <v>8</v>
      </c>
      <c r="G6" s="7"/>
      <c r="H6" s="8" t="s">
        <v>9</v>
      </c>
      <c r="I6" s="9" t="n">
        <f aca="false">D9-D10-D11</f>
        <v>120000</v>
      </c>
      <c r="J6" s="10" t="s">
        <v>10</v>
      </c>
      <c r="K6" s="11"/>
    </row>
    <row r="7" customFormat="false" ht="21.75" hidden="false" customHeight="true" outlineLevel="0" collapsed="false">
      <c r="B7" s="5" t="s">
        <v>11</v>
      </c>
      <c r="C7" s="5"/>
      <c r="D7" s="6" t="n">
        <v>250</v>
      </c>
      <c r="F7" s="12" t="s">
        <v>12</v>
      </c>
      <c r="G7" s="12"/>
      <c r="H7" s="13" t="s">
        <v>13</v>
      </c>
      <c r="I7" s="14" t="n">
        <f aca="false">IFERROR((D9-D10-D11)/D9,0)</f>
        <v>1</v>
      </c>
      <c r="J7" s="15" t="s">
        <v>14</v>
      </c>
      <c r="K7" s="16" t="str">
        <f aca="false">IF(I7&gt;=0.9,"🟢 ÓPTIMO",IF(I7&gt;=0.75,"🟡 ACEPTABLE","🔴 CRÍTICO"))</f>
        <v>🟢 ÓPTIMO</v>
      </c>
    </row>
    <row r="8" customFormat="false" ht="21.75" hidden="false" customHeight="true" outlineLevel="0" collapsed="false">
      <c r="B8" s="5" t="s">
        <v>15</v>
      </c>
      <c r="C8" s="5"/>
      <c r="D8" s="6" t="n">
        <v>8</v>
      </c>
      <c r="F8" s="7" t="s">
        <v>16</v>
      </c>
      <c r="G8" s="7"/>
      <c r="H8" s="8" t="s">
        <v>17</v>
      </c>
      <c r="I8" s="6" t="n">
        <f aca="false">COUNTIF(Registro_Paradas!F2:F1000,"No Planificada")</f>
        <v>0</v>
      </c>
      <c r="J8" s="10" t="s">
        <v>18</v>
      </c>
      <c r="K8" s="11"/>
    </row>
    <row r="9" customFormat="false" ht="21.75" hidden="false" customHeight="true" outlineLevel="0" collapsed="false">
      <c r="B9" s="5" t="s">
        <v>19</v>
      </c>
      <c r="C9" s="5"/>
      <c r="D9" s="6" t="n">
        <f aca="false">D7*D8*60</f>
        <v>120000</v>
      </c>
      <c r="F9" s="12" t="s">
        <v>20</v>
      </c>
      <c r="G9" s="12"/>
      <c r="H9" s="13" t="s">
        <v>21</v>
      </c>
      <c r="I9" s="9" t="n">
        <f aca="false">IFERROR((D9-D10-D11)/I8,0)</f>
        <v>0</v>
      </c>
      <c r="J9" s="15" t="s">
        <v>22</v>
      </c>
      <c r="K9" s="17"/>
    </row>
    <row r="10" customFormat="false" ht="21.75" hidden="false" customHeight="true" outlineLevel="0" collapsed="false">
      <c r="B10" s="5" t="s">
        <v>23</v>
      </c>
      <c r="C10" s="5"/>
      <c r="D10" s="6" t="n">
        <f aca="false">SUMIF(Registro_Paradas!F2:F1000,"Planificada",Registro_Paradas!E2:E1000)</f>
        <v>0</v>
      </c>
      <c r="F10" s="7" t="s">
        <v>24</v>
      </c>
      <c r="G10" s="7"/>
      <c r="H10" s="8" t="s">
        <v>25</v>
      </c>
      <c r="I10" s="9" t="n">
        <f aca="false">IFERROR(D11/I8,0)</f>
        <v>0</v>
      </c>
      <c r="J10" s="10" t="s">
        <v>22</v>
      </c>
      <c r="K10" s="11"/>
    </row>
    <row r="11" customFormat="false" ht="21.75" hidden="false" customHeight="true" outlineLevel="0" collapsed="false">
      <c r="B11" s="5" t="s">
        <v>26</v>
      </c>
      <c r="C11" s="5"/>
      <c r="D11" s="6" t="n">
        <f aca="false">SUMIF(Registro_Paradas!F2:F1000,"No Planificada",Registro_Paradas!E2:E1000)</f>
        <v>0</v>
      </c>
      <c r="F11" s="12" t="s">
        <v>27</v>
      </c>
      <c r="G11" s="12"/>
      <c r="H11" s="13" t="s">
        <v>28</v>
      </c>
      <c r="I11" s="14" t="n">
        <v>0.92</v>
      </c>
      <c r="J11" s="15" t="s">
        <v>14</v>
      </c>
      <c r="K11" s="17"/>
    </row>
    <row r="12" customFormat="false" ht="21.75" hidden="false" customHeight="true" outlineLevel="0" collapsed="false">
      <c r="F12" s="7" t="s">
        <v>29</v>
      </c>
      <c r="G12" s="7"/>
      <c r="H12" s="8" t="s">
        <v>30</v>
      </c>
      <c r="I12" s="14" t="n">
        <v>0.97</v>
      </c>
      <c r="J12" s="10" t="s">
        <v>14</v>
      </c>
      <c r="K12" s="11"/>
    </row>
    <row r="13" customFormat="false" ht="21.75" hidden="false" customHeight="true" outlineLevel="0" collapsed="false">
      <c r="F13" s="12" t="s">
        <v>31</v>
      </c>
      <c r="G13" s="12"/>
      <c r="H13" s="13" t="s">
        <v>32</v>
      </c>
      <c r="I13" s="14" t="n">
        <f aca="false">I7*I11*I12</f>
        <v>0.8924</v>
      </c>
      <c r="J13" s="15" t="s">
        <v>14</v>
      </c>
      <c r="K13" s="16" t="str">
        <f aca="false">IF(I13&gt;=0.85,"🟢 ÓPTIMO",IF(I13&gt;=0.65,"🟡 ACEPTABLE","🔴 CRÍTICO"))</f>
        <v>🟢 ÓPTIMO</v>
      </c>
    </row>
    <row r="14" customFormat="false" ht="15" hidden="false" customHeight="true" outlineLevel="0" collapsed="false">
      <c r="A14" s="18" t="s">
        <v>33</v>
      </c>
      <c r="B14" s="18"/>
      <c r="C14" s="18"/>
      <c r="D14" s="18"/>
      <c r="E14" s="18"/>
    </row>
    <row r="15" customFormat="false" ht="22.35" hidden="false" customHeight="false" outlineLevel="0" collapsed="false">
      <c r="A15" s="19" t="s">
        <v>34</v>
      </c>
      <c r="B15" s="19" t="s">
        <v>35</v>
      </c>
      <c r="C15" s="19" t="s">
        <v>36</v>
      </c>
      <c r="D15" s="19" t="s">
        <v>37</v>
      </c>
      <c r="E15" s="19" t="s">
        <v>38</v>
      </c>
    </row>
    <row r="16" customFormat="false" ht="15" hidden="false" customHeight="false" outlineLevel="0" collapsed="false">
      <c r="A16" s="11" t="s">
        <v>39</v>
      </c>
      <c r="B16" s="20" t="str">
        <f aca="false">IFERROR(VLOOKUP(A16,Diccionario_Codigos!$A:$B,2,0),"")</f>
        <v>Husillo / Spindle (Inline Motor)</v>
      </c>
      <c r="C16" s="11" t="n">
        <f aca="false">IFERROR(COUNTIF(Registro_Paradas!$G:$G,A16),0)</f>
        <v>0</v>
      </c>
      <c r="D16" s="21" t="n">
        <f aca="false">IFERROR(SUMIF(Registro_Paradas!$G:$G,A16,Registro_Paradas!$E:$E),0)</f>
        <v>0</v>
      </c>
      <c r="E16" s="22" t="n">
        <f aca="false">IFERROR(D16/D11,0)</f>
        <v>0</v>
      </c>
    </row>
    <row r="17" customFormat="false" ht="15" hidden="false" customHeight="false" outlineLevel="0" collapsed="false">
      <c r="A17" s="17" t="s">
        <v>40</v>
      </c>
      <c r="B17" s="23" t="str">
        <f aca="false">IFERROR(VLOOKUP(A17,Diccionario_Codigos!$A:$B,2,0),"")</f>
        <v>Ejes y Guías Lineales X / Y / Z</v>
      </c>
      <c r="C17" s="17" t="n">
        <f aca="false">IFERROR(COUNTIF(Registro_Paradas!$G:$G,A17),0)</f>
        <v>0</v>
      </c>
      <c r="D17" s="24" t="n">
        <f aca="false">IFERROR(SUMIF(Registro_Paradas!$G:$G,A17,Registro_Paradas!$E:$E),0)</f>
        <v>0</v>
      </c>
      <c r="E17" s="25" t="n">
        <f aca="false">IFERROR(D17/D11,0)</f>
        <v>0</v>
      </c>
    </row>
    <row r="18" customFormat="false" ht="28.35" hidden="false" customHeight="false" outlineLevel="0" collapsed="false">
      <c r="A18" s="11" t="s">
        <v>41</v>
      </c>
      <c r="B18" s="20" t="str">
        <f aca="false">IFERROR(VLOOKUP(A18,Diccionario_Codigos!$A:$B,2,0),"")</f>
        <v>ATC — Cambiador Automático 30 pos.</v>
      </c>
      <c r="C18" s="11" t="n">
        <f aca="false">IFERROR(COUNTIF(Registro_Paradas!$G:$G,A18),0)</f>
        <v>0</v>
      </c>
      <c r="D18" s="21" t="n">
        <f aca="false">IFERROR(SUMIF(Registro_Paradas!$G:$G,A18,Registro_Paradas!$E:$E),0)</f>
        <v>0</v>
      </c>
      <c r="E18" s="22" t="n">
        <f aca="false">IFERROR(D18/D11,0)</f>
        <v>0</v>
      </c>
    </row>
    <row r="19" customFormat="false" ht="28.35" hidden="false" customHeight="false" outlineLevel="0" collapsed="false">
      <c r="A19" s="17" t="s">
        <v>42</v>
      </c>
      <c r="B19" s="23" t="str">
        <f aca="false">IFERROR(VLOOKUP(A19,Diccionario_Codigos!$A:$B,2,0),"")</f>
        <v>Sistema Neumático — Presión &lt; 6 bar</v>
      </c>
      <c r="C19" s="17" t="n">
        <f aca="false">IFERROR(COUNTIF(Registro_Paradas!$G:$G,A19),0)</f>
        <v>0</v>
      </c>
      <c r="D19" s="24" t="n">
        <f aca="false">IFERROR(SUMIF(Registro_Paradas!$G:$G,A19,Registro_Paradas!$E:$E),0)</f>
        <v>0</v>
      </c>
      <c r="E19" s="25" t="n">
        <f aca="false">IFERROR(D19/D11,0)</f>
        <v>0</v>
      </c>
    </row>
    <row r="20" customFormat="false" ht="28.35" hidden="false" customHeight="false" outlineLevel="0" collapsed="false">
      <c r="A20" s="11" t="s">
        <v>43</v>
      </c>
      <c r="B20" s="20" t="str">
        <f aca="false">IFERROR(VLOOKUP(A20,Diccionario_Codigos!$A:$B,2,0),"")</f>
        <v>Lubricación Centralizada Automática</v>
      </c>
      <c r="C20" s="11" t="n">
        <f aca="false">IFERROR(COUNTIF(Registro_Paradas!$G:$G,A20),0)</f>
        <v>0</v>
      </c>
      <c r="D20" s="21" t="n">
        <f aca="false">IFERROR(SUMIF(Registro_Paradas!$G:$G,A20,Registro_Paradas!$E:$E),0)</f>
        <v>0</v>
      </c>
      <c r="E20" s="22" t="n">
        <f aca="false">IFERROR(D20/D11,0)</f>
        <v>0</v>
      </c>
    </row>
    <row r="21" customFormat="false" ht="15" hidden="false" customHeight="false" outlineLevel="0" collapsed="false">
      <c r="A21" s="17" t="s">
        <v>44</v>
      </c>
      <c r="B21" s="23" t="str">
        <f aca="false">IFERROR(VLOOKUP(A21,Diccionario_Codigos!$A:$B,2,0),"")</f>
        <v>Extractor Virutas / Refrigerante</v>
      </c>
      <c r="C21" s="17" t="n">
        <f aca="false">IFERROR(COUNTIF(Registro_Paradas!$G:$G,A21),0)</f>
        <v>0</v>
      </c>
      <c r="D21" s="24" t="n">
        <f aca="false">IFERROR(SUMIF(Registro_Paradas!$G:$G,A21,Registro_Paradas!$E:$E),0)</f>
        <v>0</v>
      </c>
      <c r="E21" s="25" t="n">
        <f aca="false">IFERROR(D21/D11,0)</f>
        <v>0</v>
      </c>
    </row>
    <row r="22" customFormat="false" ht="28.35" hidden="false" customHeight="false" outlineLevel="0" collapsed="false">
      <c r="A22" s="11" t="s">
        <v>45</v>
      </c>
      <c r="B22" s="20" t="str">
        <f aca="false">IFERROR(VLOOKUP(A22,Diccionario_Codigos!$A:$B,2,0),"")</f>
        <v>Parada Emergencia / Seguridad Puertas</v>
      </c>
      <c r="C22" s="11" t="n">
        <f aca="false">IFERROR(COUNTIF(Registro_Paradas!$G:$G,A22),0)</f>
        <v>0</v>
      </c>
      <c r="D22" s="21" t="n">
        <f aca="false">IFERROR(SUMIF(Registro_Paradas!$G:$G,A22,Registro_Paradas!$E:$E),0)</f>
        <v>0</v>
      </c>
      <c r="E22" s="22" t="n">
        <f aca="false">IFERROR(D22/D11,0)</f>
        <v>0</v>
      </c>
    </row>
    <row r="23" customFormat="false" ht="15" hidden="false" customHeight="false" outlineLevel="0" collapsed="false">
      <c r="A23" s="17" t="s">
        <v>46</v>
      </c>
      <c r="B23" s="23" t="str">
        <f aca="false">IFERROR(VLOOKUP(A23,Diccionario_Codigos!$A:$B,2,0),"")</f>
        <v>Error Programación / Código G</v>
      </c>
      <c r="C23" s="17" t="n">
        <f aca="false">IFERROR(COUNTIF(Registro_Paradas!$G:$G,A23),0)</f>
        <v>0</v>
      </c>
      <c r="D23" s="24" t="n">
        <f aca="false">IFERROR(SUMIF(Registro_Paradas!$G:$G,A23,Registro_Paradas!$E:$E),0)</f>
        <v>0</v>
      </c>
      <c r="E23" s="25" t="n">
        <f aca="false">IFERROR(D23/D11,0)</f>
        <v>0</v>
      </c>
    </row>
    <row r="26" customFormat="false" ht="39.75" hidden="false" customHeight="true" outlineLevel="0" collapsed="false">
      <c r="A26" s="26" t="s">
        <v>47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</sheetData>
  <mergeCells count="21">
    <mergeCell ref="A1:N1"/>
    <mergeCell ref="A2:N2"/>
    <mergeCell ref="A4:C4"/>
    <mergeCell ref="F4:N4"/>
    <mergeCell ref="B5:C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F12:G12"/>
    <mergeCell ref="F13:G13"/>
    <mergeCell ref="A14:E14"/>
    <mergeCell ref="A26: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42"/>
  </cols>
  <sheetData>
    <row r="1" customFormat="false" ht="24.75" hidden="false" customHeight="true" outlineLevel="0" collapsed="false">
      <c r="A1" s="27" t="s">
        <v>48</v>
      </c>
      <c r="B1" s="27"/>
      <c r="C1" s="27"/>
      <c r="D1" s="27"/>
      <c r="E1" s="27"/>
      <c r="F1" s="27"/>
      <c r="G1" s="27"/>
      <c r="H1" s="27"/>
    </row>
    <row r="2" customFormat="false" ht="31.5" hidden="false" customHeight="true" outlineLevel="0" collapsed="false">
      <c r="A2" s="28" t="s">
        <v>49</v>
      </c>
      <c r="B2" s="28" t="s">
        <v>50</v>
      </c>
      <c r="C2" s="28" t="s">
        <v>51</v>
      </c>
      <c r="D2" s="28" t="s">
        <v>52</v>
      </c>
      <c r="E2" s="28" t="s">
        <v>53</v>
      </c>
      <c r="F2" s="28" t="s">
        <v>54</v>
      </c>
      <c r="G2" s="28" t="s">
        <v>55</v>
      </c>
      <c r="H2" s="28" t="s">
        <v>56</v>
      </c>
    </row>
    <row r="3" customFormat="false" ht="18" hidden="false" customHeight="true" outlineLevel="0" collapsed="false">
      <c r="A3" s="11" t="str">
        <f aca="false">IF(G3&lt;&gt;"",ROW()-2,"")</f>
        <v/>
      </c>
      <c r="B3" s="29"/>
      <c r="C3" s="30"/>
      <c r="D3" s="30"/>
      <c r="E3" s="9" t="str">
        <f aca="false">IF(AND(C3&lt;&gt;"",D3&lt;&gt;""),INT((D3-C3)*1440),"")</f>
        <v/>
      </c>
      <c r="F3" s="31" t="str">
        <f aca="false">IF(G3="","",IF(LEFT(G3,2)="PP","Planificada",IF(LEFT(G3,3)="PNP","No Planificada","Desconocido")))</f>
        <v/>
      </c>
      <c r="G3" s="32"/>
      <c r="H3" s="20"/>
    </row>
    <row r="4" customFormat="false" ht="18" hidden="false" customHeight="true" outlineLevel="0" collapsed="false">
      <c r="A4" s="17" t="str">
        <f aca="false">IF(G4&lt;&gt;"",ROW()-2,"")</f>
        <v/>
      </c>
      <c r="B4" s="33"/>
      <c r="C4" s="34"/>
      <c r="D4" s="34"/>
      <c r="E4" s="9" t="str">
        <f aca="false">IF(AND(C4&lt;&gt;"",D4&lt;&gt;""),INT((D4-C4)*1440),"")</f>
        <v/>
      </c>
      <c r="F4" s="35" t="str">
        <f aca="false">IF(G4="","",IF(LEFT(G4,2)="PP","Planificada",IF(LEFT(G4,3)="PNP","No Planificada","Desconocido")))</f>
        <v/>
      </c>
      <c r="G4" s="32"/>
      <c r="H4" s="23"/>
    </row>
    <row r="5" customFormat="false" ht="18" hidden="false" customHeight="true" outlineLevel="0" collapsed="false">
      <c r="A5" s="11" t="str">
        <f aca="false">IF(G5&lt;&gt;"",ROW()-2,"")</f>
        <v/>
      </c>
      <c r="B5" s="29"/>
      <c r="C5" s="30"/>
      <c r="D5" s="30"/>
      <c r="E5" s="9" t="str">
        <f aca="false">IF(AND(C5&lt;&gt;"",D5&lt;&gt;""),INT((D5-C5)*1440),"")</f>
        <v/>
      </c>
      <c r="F5" s="31" t="str">
        <f aca="false">IF(G5="","",IF(LEFT(G5,2)="PP","Planificada",IF(LEFT(G5,3)="PNP","No Planificada","Desconocido")))</f>
        <v/>
      </c>
      <c r="G5" s="32"/>
      <c r="H5" s="20"/>
    </row>
    <row r="6" customFormat="false" ht="18" hidden="false" customHeight="true" outlineLevel="0" collapsed="false">
      <c r="A6" s="17" t="str">
        <f aca="false">IF(G6&lt;&gt;"",ROW()-2,"")</f>
        <v/>
      </c>
      <c r="B6" s="33"/>
      <c r="C6" s="34"/>
      <c r="D6" s="34"/>
      <c r="E6" s="9" t="str">
        <f aca="false">IF(AND(C6&lt;&gt;"",D6&lt;&gt;""),INT((D6-C6)*1440),"")</f>
        <v/>
      </c>
      <c r="F6" s="35" t="str">
        <f aca="false">IF(G6="","",IF(LEFT(G6,2)="PP","Planificada",IF(LEFT(G6,3)="PNP","No Planificada","Desconocido")))</f>
        <v/>
      </c>
      <c r="G6" s="32"/>
      <c r="H6" s="23"/>
    </row>
    <row r="7" customFormat="false" ht="18" hidden="false" customHeight="true" outlineLevel="0" collapsed="false">
      <c r="A7" s="11" t="str">
        <f aca="false">IF(G7&lt;&gt;"",ROW()-2,"")</f>
        <v/>
      </c>
      <c r="B7" s="29"/>
      <c r="C7" s="30"/>
      <c r="D7" s="30"/>
      <c r="E7" s="9" t="str">
        <f aca="false">IF(AND(C7&lt;&gt;"",D7&lt;&gt;""),INT((D7-C7)*1440),"")</f>
        <v/>
      </c>
      <c r="F7" s="31" t="str">
        <f aca="false">IF(G7="","",IF(LEFT(G7,2)="PP","Planificada",IF(LEFT(G7,3)="PNP","No Planificada","Desconocido")))</f>
        <v/>
      </c>
      <c r="G7" s="32"/>
      <c r="H7" s="20"/>
    </row>
    <row r="8" customFormat="false" ht="18" hidden="false" customHeight="true" outlineLevel="0" collapsed="false">
      <c r="A8" s="17" t="str">
        <f aca="false">IF(G8&lt;&gt;"",ROW()-2,"")</f>
        <v/>
      </c>
      <c r="B8" s="33"/>
      <c r="C8" s="34"/>
      <c r="D8" s="34"/>
      <c r="E8" s="9" t="str">
        <f aca="false">IF(AND(C8&lt;&gt;"",D8&lt;&gt;""),INT((D8-C8)*1440),"")</f>
        <v/>
      </c>
      <c r="F8" s="35" t="str">
        <f aca="false">IF(G8="","",IF(LEFT(G8,2)="PP","Planificada",IF(LEFT(G8,3)="PNP","No Planificada","Desconocido")))</f>
        <v/>
      </c>
      <c r="G8" s="32"/>
      <c r="H8" s="23"/>
    </row>
    <row r="9" customFormat="false" ht="18" hidden="false" customHeight="true" outlineLevel="0" collapsed="false">
      <c r="A9" s="11" t="str">
        <f aca="false">IF(G9&lt;&gt;"",ROW()-2,"")</f>
        <v/>
      </c>
      <c r="B9" s="29"/>
      <c r="C9" s="30"/>
      <c r="D9" s="30"/>
      <c r="E9" s="9" t="str">
        <f aca="false">IF(AND(C9&lt;&gt;"",D9&lt;&gt;""),INT((D9-C9)*1440),"")</f>
        <v/>
      </c>
      <c r="F9" s="31" t="str">
        <f aca="false">IF(G9="","",IF(LEFT(G9,2)="PP","Planificada",IF(LEFT(G9,3)="PNP","No Planificada","Desconocido")))</f>
        <v/>
      </c>
      <c r="G9" s="32"/>
      <c r="H9" s="20"/>
    </row>
    <row r="10" customFormat="false" ht="18" hidden="false" customHeight="true" outlineLevel="0" collapsed="false">
      <c r="A10" s="17" t="str">
        <f aca="false">IF(G10&lt;&gt;"",ROW()-2,"")</f>
        <v/>
      </c>
      <c r="B10" s="33"/>
      <c r="C10" s="34"/>
      <c r="D10" s="34"/>
      <c r="E10" s="9" t="str">
        <f aca="false">IF(AND(C10&lt;&gt;"",D10&lt;&gt;""),INT((D10-C10)*1440),"")</f>
        <v/>
      </c>
      <c r="F10" s="35" t="str">
        <f aca="false">IF(G10="","",IF(LEFT(G10,2)="PP","Planificada",IF(LEFT(G10,3)="PNP","No Planificada","Desconocido")))</f>
        <v/>
      </c>
      <c r="G10" s="32"/>
      <c r="H10" s="23"/>
    </row>
    <row r="11" customFormat="false" ht="18" hidden="false" customHeight="true" outlineLevel="0" collapsed="false">
      <c r="A11" s="11" t="str">
        <f aca="false">IF(G11&lt;&gt;"",ROW()-2,"")</f>
        <v/>
      </c>
      <c r="B11" s="29"/>
      <c r="C11" s="30"/>
      <c r="D11" s="30"/>
      <c r="E11" s="9" t="str">
        <f aca="false">IF(AND(C11&lt;&gt;"",D11&lt;&gt;""),INT((D11-C11)*1440),"")</f>
        <v/>
      </c>
      <c r="F11" s="31" t="str">
        <f aca="false">IF(G11="","",IF(LEFT(G11,2)="PP","Planificada",IF(LEFT(G11,3)="PNP","No Planificada","Desconocido")))</f>
        <v/>
      </c>
      <c r="G11" s="32"/>
      <c r="H11" s="20"/>
    </row>
    <row r="12" customFormat="false" ht="18" hidden="false" customHeight="true" outlineLevel="0" collapsed="false">
      <c r="A12" s="17" t="str">
        <f aca="false">IF(G12&lt;&gt;"",ROW()-2,"")</f>
        <v/>
      </c>
      <c r="B12" s="33"/>
      <c r="C12" s="34"/>
      <c r="D12" s="34"/>
      <c r="E12" s="9" t="str">
        <f aca="false">IF(AND(C12&lt;&gt;"",D12&lt;&gt;""),INT((D12-C12)*1440),"")</f>
        <v/>
      </c>
      <c r="F12" s="35" t="str">
        <f aca="false">IF(G12="","",IF(LEFT(G12,2)="PP","Planificada",IF(LEFT(G12,3)="PNP","No Planificada","Desconocido")))</f>
        <v/>
      </c>
      <c r="G12" s="32"/>
      <c r="H12" s="23"/>
    </row>
    <row r="13" customFormat="false" ht="18" hidden="false" customHeight="true" outlineLevel="0" collapsed="false">
      <c r="A13" s="11" t="str">
        <f aca="false">IF(G13&lt;&gt;"",ROW()-2,"")</f>
        <v/>
      </c>
      <c r="B13" s="29"/>
      <c r="C13" s="30"/>
      <c r="D13" s="30"/>
      <c r="E13" s="9" t="str">
        <f aca="false">IF(AND(C13&lt;&gt;"",D13&lt;&gt;""),INT((D13-C13)*1440),"")</f>
        <v/>
      </c>
      <c r="F13" s="31" t="str">
        <f aca="false">IF(G13="","",IF(LEFT(G13,2)="PP","Planificada",IF(LEFT(G13,3)="PNP","No Planificada","Desconocido")))</f>
        <v/>
      </c>
      <c r="G13" s="32"/>
      <c r="H13" s="20"/>
    </row>
    <row r="14" customFormat="false" ht="18" hidden="false" customHeight="true" outlineLevel="0" collapsed="false">
      <c r="A14" s="17" t="str">
        <f aca="false">IF(G14&lt;&gt;"",ROW()-2,"")</f>
        <v/>
      </c>
      <c r="B14" s="33"/>
      <c r="C14" s="34"/>
      <c r="D14" s="34"/>
      <c r="E14" s="9" t="str">
        <f aca="false">IF(AND(C14&lt;&gt;"",D14&lt;&gt;""),INT((D14-C14)*1440),"")</f>
        <v/>
      </c>
      <c r="F14" s="35" t="str">
        <f aca="false">IF(G14="","",IF(LEFT(G14,2)="PP","Planificada",IF(LEFT(G14,3)="PNP","No Planificada","Desconocido")))</f>
        <v/>
      </c>
      <c r="G14" s="32"/>
      <c r="H14" s="23"/>
    </row>
    <row r="15" customFormat="false" ht="18" hidden="false" customHeight="true" outlineLevel="0" collapsed="false">
      <c r="A15" s="11" t="str">
        <f aca="false">IF(G15&lt;&gt;"",ROW()-2,"")</f>
        <v/>
      </c>
      <c r="B15" s="29"/>
      <c r="C15" s="30"/>
      <c r="D15" s="30"/>
      <c r="E15" s="9" t="str">
        <f aca="false">IF(AND(C15&lt;&gt;"",D15&lt;&gt;""),INT((D15-C15)*1440),"")</f>
        <v/>
      </c>
      <c r="F15" s="31" t="str">
        <f aca="false">IF(G15="","",IF(LEFT(G15,2)="PP","Planificada",IF(LEFT(G15,3)="PNP","No Planificada","Desconocido")))</f>
        <v/>
      </c>
      <c r="G15" s="32"/>
      <c r="H15" s="20"/>
    </row>
    <row r="16" customFormat="false" ht="18" hidden="false" customHeight="true" outlineLevel="0" collapsed="false">
      <c r="A16" s="17" t="str">
        <f aca="false">IF(G16&lt;&gt;"",ROW()-2,"")</f>
        <v/>
      </c>
      <c r="B16" s="33"/>
      <c r="C16" s="34"/>
      <c r="D16" s="34"/>
      <c r="E16" s="9" t="str">
        <f aca="false">IF(AND(C16&lt;&gt;"",D16&lt;&gt;""),INT((D16-C16)*1440),"")</f>
        <v/>
      </c>
      <c r="F16" s="35" t="str">
        <f aca="false">IF(G16="","",IF(LEFT(G16,2)="PP","Planificada",IF(LEFT(G16,3)="PNP","No Planificada","Desconocido")))</f>
        <v/>
      </c>
      <c r="G16" s="32"/>
      <c r="H16" s="23"/>
    </row>
    <row r="17" customFormat="false" ht="18" hidden="false" customHeight="true" outlineLevel="0" collapsed="false">
      <c r="A17" s="11" t="str">
        <f aca="false">IF(G17&lt;&gt;"",ROW()-2,"")</f>
        <v/>
      </c>
      <c r="B17" s="29"/>
      <c r="C17" s="30"/>
      <c r="D17" s="30"/>
      <c r="E17" s="9" t="str">
        <f aca="false">IF(AND(C17&lt;&gt;"",D17&lt;&gt;""),INT((D17-C17)*1440),"")</f>
        <v/>
      </c>
      <c r="F17" s="31" t="str">
        <f aca="false">IF(G17="","",IF(LEFT(G17,2)="PP","Planificada",IF(LEFT(G17,3)="PNP","No Planificada","Desconocido")))</f>
        <v/>
      </c>
      <c r="G17" s="32"/>
      <c r="H17" s="20"/>
    </row>
    <row r="18" customFormat="false" ht="18" hidden="false" customHeight="true" outlineLevel="0" collapsed="false">
      <c r="A18" s="17" t="str">
        <f aca="false">IF(G18&lt;&gt;"",ROW()-2,"")</f>
        <v/>
      </c>
      <c r="B18" s="33"/>
      <c r="C18" s="34"/>
      <c r="D18" s="34"/>
      <c r="E18" s="9" t="str">
        <f aca="false">IF(AND(C18&lt;&gt;"",D18&lt;&gt;""),INT((D18-C18)*1440),"")</f>
        <v/>
      </c>
      <c r="F18" s="35" t="str">
        <f aca="false">IF(G18="","",IF(LEFT(G18,2)="PP","Planificada",IF(LEFT(G18,3)="PNP","No Planificada","Desconocido")))</f>
        <v/>
      </c>
      <c r="G18" s="32"/>
      <c r="H18" s="23"/>
    </row>
    <row r="19" customFormat="false" ht="18" hidden="false" customHeight="true" outlineLevel="0" collapsed="false">
      <c r="A19" s="11" t="str">
        <f aca="false">IF(G19&lt;&gt;"",ROW()-2,"")</f>
        <v/>
      </c>
      <c r="B19" s="29"/>
      <c r="C19" s="30"/>
      <c r="D19" s="30"/>
      <c r="E19" s="9" t="str">
        <f aca="false">IF(AND(C19&lt;&gt;"",D19&lt;&gt;""),INT((D19-C19)*1440),"")</f>
        <v/>
      </c>
      <c r="F19" s="31" t="str">
        <f aca="false">IF(G19="","",IF(LEFT(G19,2)="PP","Planificada",IF(LEFT(G19,3)="PNP","No Planificada","Desconocido")))</f>
        <v/>
      </c>
      <c r="G19" s="32"/>
      <c r="H19" s="20"/>
    </row>
    <row r="20" customFormat="false" ht="18" hidden="false" customHeight="true" outlineLevel="0" collapsed="false">
      <c r="A20" s="17" t="str">
        <f aca="false">IF(G20&lt;&gt;"",ROW()-2,"")</f>
        <v/>
      </c>
      <c r="B20" s="33"/>
      <c r="C20" s="34"/>
      <c r="D20" s="34"/>
      <c r="E20" s="9" t="str">
        <f aca="false">IF(AND(C20&lt;&gt;"",D20&lt;&gt;""),INT((D20-C20)*1440),"")</f>
        <v/>
      </c>
      <c r="F20" s="35" t="str">
        <f aca="false">IF(G20="","",IF(LEFT(G20,2)="PP","Planificada",IF(LEFT(G20,3)="PNP","No Planificada","Desconocido")))</f>
        <v/>
      </c>
      <c r="G20" s="32"/>
      <c r="H20" s="23"/>
    </row>
    <row r="21" customFormat="false" ht="18" hidden="false" customHeight="true" outlineLevel="0" collapsed="false">
      <c r="A21" s="11" t="str">
        <f aca="false">IF(G21&lt;&gt;"",ROW()-2,"")</f>
        <v/>
      </c>
      <c r="B21" s="29"/>
      <c r="C21" s="30"/>
      <c r="D21" s="30"/>
      <c r="E21" s="9" t="str">
        <f aca="false">IF(AND(C21&lt;&gt;"",D21&lt;&gt;""),INT((D21-C21)*1440),"")</f>
        <v/>
      </c>
      <c r="F21" s="31" t="str">
        <f aca="false">IF(G21="","",IF(LEFT(G21,2)="PP","Planificada",IF(LEFT(G21,3)="PNP","No Planificada","Desconocido")))</f>
        <v/>
      </c>
      <c r="G21" s="32"/>
      <c r="H21" s="20"/>
    </row>
    <row r="22" customFormat="false" ht="18" hidden="false" customHeight="true" outlineLevel="0" collapsed="false">
      <c r="A22" s="17" t="str">
        <f aca="false">IF(G22&lt;&gt;"",ROW()-2,"")</f>
        <v/>
      </c>
      <c r="B22" s="33"/>
      <c r="C22" s="34"/>
      <c r="D22" s="34"/>
      <c r="E22" s="9" t="str">
        <f aca="false">IF(AND(C22&lt;&gt;"",D22&lt;&gt;""),INT((D22-C22)*1440),"")</f>
        <v/>
      </c>
      <c r="F22" s="35" t="str">
        <f aca="false">IF(G22="","",IF(LEFT(G22,2)="PP","Planificada",IF(LEFT(G22,3)="PNP","No Planificada","Desconocido")))</f>
        <v/>
      </c>
      <c r="G22" s="32"/>
      <c r="H22" s="23"/>
    </row>
    <row r="23" customFormat="false" ht="18" hidden="false" customHeight="true" outlineLevel="0" collapsed="false">
      <c r="A23" s="11" t="str">
        <f aca="false">IF(G23&lt;&gt;"",ROW()-2,"")</f>
        <v/>
      </c>
      <c r="B23" s="29"/>
      <c r="C23" s="30"/>
      <c r="D23" s="30"/>
      <c r="E23" s="9" t="str">
        <f aca="false">IF(AND(C23&lt;&gt;"",D23&lt;&gt;""),INT((D23-C23)*1440),"")</f>
        <v/>
      </c>
      <c r="F23" s="31" t="str">
        <f aca="false">IF(G23="","",IF(LEFT(G23,2)="PP","Planificada",IF(LEFT(G23,3)="PNP","No Planificada","Desconocido")))</f>
        <v/>
      </c>
      <c r="G23" s="32"/>
      <c r="H23" s="20"/>
    </row>
    <row r="24" customFormat="false" ht="18" hidden="false" customHeight="true" outlineLevel="0" collapsed="false">
      <c r="A24" s="17" t="str">
        <f aca="false">IF(G24&lt;&gt;"",ROW()-2,"")</f>
        <v/>
      </c>
      <c r="B24" s="33"/>
      <c r="C24" s="34"/>
      <c r="D24" s="34"/>
      <c r="E24" s="9" t="str">
        <f aca="false">IF(AND(C24&lt;&gt;"",D24&lt;&gt;""),INT((D24-C24)*1440),"")</f>
        <v/>
      </c>
      <c r="F24" s="35" t="str">
        <f aca="false">IF(G24="","",IF(LEFT(G24,2)="PP","Planificada",IF(LEFT(G24,3)="PNP","No Planificada","Desconocido")))</f>
        <v/>
      </c>
      <c r="G24" s="32"/>
      <c r="H24" s="23"/>
    </row>
    <row r="25" customFormat="false" ht="18" hidden="false" customHeight="true" outlineLevel="0" collapsed="false">
      <c r="A25" s="11" t="str">
        <f aca="false">IF(G25&lt;&gt;"",ROW()-2,"")</f>
        <v/>
      </c>
      <c r="B25" s="29"/>
      <c r="C25" s="30"/>
      <c r="D25" s="30"/>
      <c r="E25" s="9" t="str">
        <f aca="false">IF(AND(C25&lt;&gt;"",D25&lt;&gt;""),INT((D25-C25)*1440),"")</f>
        <v/>
      </c>
      <c r="F25" s="31" t="str">
        <f aca="false">IF(G25="","",IF(LEFT(G25,2)="PP","Planificada",IF(LEFT(G25,3)="PNP","No Planificada","Desconocido")))</f>
        <v/>
      </c>
      <c r="G25" s="32"/>
      <c r="H25" s="20"/>
    </row>
    <row r="26" customFormat="false" ht="18" hidden="false" customHeight="true" outlineLevel="0" collapsed="false">
      <c r="A26" s="17" t="str">
        <f aca="false">IF(G26&lt;&gt;"",ROW()-2,"")</f>
        <v/>
      </c>
      <c r="B26" s="33"/>
      <c r="C26" s="34"/>
      <c r="D26" s="34"/>
      <c r="E26" s="9" t="str">
        <f aca="false">IF(AND(C26&lt;&gt;"",D26&lt;&gt;""),INT((D26-C26)*1440),"")</f>
        <v/>
      </c>
      <c r="F26" s="35" t="str">
        <f aca="false">IF(G26="","",IF(LEFT(G26,2)="PP","Planificada",IF(LEFT(G26,3)="PNP","No Planificada","Desconocido")))</f>
        <v/>
      </c>
      <c r="G26" s="32"/>
      <c r="H26" s="23"/>
    </row>
    <row r="27" customFormat="false" ht="18" hidden="false" customHeight="true" outlineLevel="0" collapsed="false">
      <c r="A27" s="11" t="str">
        <f aca="false">IF(G27&lt;&gt;"",ROW()-2,"")</f>
        <v/>
      </c>
      <c r="B27" s="29"/>
      <c r="C27" s="30"/>
      <c r="D27" s="30"/>
      <c r="E27" s="9" t="str">
        <f aca="false">IF(AND(C27&lt;&gt;"",D27&lt;&gt;""),INT((D27-C27)*1440),"")</f>
        <v/>
      </c>
      <c r="F27" s="31" t="str">
        <f aca="false">IF(G27="","",IF(LEFT(G27,2)="PP","Planificada",IF(LEFT(G27,3)="PNP","No Planificada","Desconocido")))</f>
        <v/>
      </c>
      <c r="G27" s="32"/>
      <c r="H27" s="20"/>
    </row>
    <row r="28" customFormat="false" ht="18" hidden="false" customHeight="true" outlineLevel="0" collapsed="false">
      <c r="A28" s="17" t="str">
        <f aca="false">IF(G28&lt;&gt;"",ROW()-2,"")</f>
        <v/>
      </c>
      <c r="B28" s="33"/>
      <c r="C28" s="34"/>
      <c r="D28" s="34"/>
      <c r="E28" s="9" t="str">
        <f aca="false">IF(AND(C28&lt;&gt;"",D28&lt;&gt;""),INT((D28-C28)*1440),"")</f>
        <v/>
      </c>
      <c r="F28" s="35" t="str">
        <f aca="false">IF(G28="","",IF(LEFT(G28,2)="PP","Planificada",IF(LEFT(G28,3)="PNP","No Planificada","Desconocido")))</f>
        <v/>
      </c>
      <c r="G28" s="32"/>
      <c r="H28" s="23"/>
    </row>
    <row r="29" customFormat="false" ht="18" hidden="false" customHeight="true" outlineLevel="0" collapsed="false">
      <c r="A29" s="11" t="str">
        <f aca="false">IF(G29&lt;&gt;"",ROW()-2,"")</f>
        <v/>
      </c>
      <c r="B29" s="29"/>
      <c r="C29" s="30"/>
      <c r="D29" s="30"/>
      <c r="E29" s="9" t="str">
        <f aca="false">IF(AND(C29&lt;&gt;"",D29&lt;&gt;""),INT((D29-C29)*1440),"")</f>
        <v/>
      </c>
      <c r="F29" s="31" t="str">
        <f aca="false">IF(G29="","",IF(LEFT(G29,2)="PP","Planificada",IF(LEFT(G29,3)="PNP","No Planificada","Desconocido")))</f>
        <v/>
      </c>
      <c r="G29" s="32"/>
      <c r="H29" s="20"/>
    </row>
    <row r="30" customFormat="false" ht="18" hidden="false" customHeight="true" outlineLevel="0" collapsed="false">
      <c r="A30" s="17" t="str">
        <f aca="false">IF(G30&lt;&gt;"",ROW()-2,"")</f>
        <v/>
      </c>
      <c r="B30" s="33"/>
      <c r="C30" s="34"/>
      <c r="D30" s="34"/>
      <c r="E30" s="9" t="str">
        <f aca="false">IF(AND(C30&lt;&gt;"",D30&lt;&gt;""),INT((D30-C30)*1440),"")</f>
        <v/>
      </c>
      <c r="F30" s="35" t="str">
        <f aca="false">IF(G30="","",IF(LEFT(G30,2)="PP","Planificada",IF(LEFT(G30,3)="PNP","No Planificada","Desconocido")))</f>
        <v/>
      </c>
      <c r="G30" s="32"/>
      <c r="H30" s="23"/>
    </row>
    <row r="31" customFormat="false" ht="18" hidden="false" customHeight="true" outlineLevel="0" collapsed="false">
      <c r="A31" s="11" t="str">
        <f aca="false">IF(G31&lt;&gt;"",ROW()-2,"")</f>
        <v/>
      </c>
      <c r="B31" s="29"/>
      <c r="C31" s="30"/>
      <c r="D31" s="30"/>
      <c r="E31" s="9" t="str">
        <f aca="false">IF(AND(C31&lt;&gt;"",D31&lt;&gt;""),INT((D31-C31)*1440),"")</f>
        <v/>
      </c>
      <c r="F31" s="31" t="str">
        <f aca="false">IF(G31="","",IF(LEFT(G31,2)="PP","Planificada",IF(LEFT(G31,3)="PNP","No Planificada","Desconocido")))</f>
        <v/>
      </c>
      <c r="G31" s="32"/>
      <c r="H31" s="20"/>
    </row>
    <row r="32" customFormat="false" ht="18" hidden="false" customHeight="true" outlineLevel="0" collapsed="false">
      <c r="A32" s="17" t="str">
        <f aca="false">IF(G32&lt;&gt;"",ROW()-2,"")</f>
        <v/>
      </c>
      <c r="B32" s="33"/>
      <c r="C32" s="34"/>
      <c r="D32" s="34"/>
      <c r="E32" s="9" t="str">
        <f aca="false">IF(AND(C32&lt;&gt;"",D32&lt;&gt;""),INT((D32-C32)*1440),"")</f>
        <v/>
      </c>
      <c r="F32" s="35" t="str">
        <f aca="false">IF(G32="","",IF(LEFT(G32,2)="PP","Planificada",IF(LEFT(G32,3)="PNP","No Planificada","Desconocido")))</f>
        <v/>
      </c>
      <c r="G32" s="32"/>
      <c r="H32" s="23"/>
    </row>
    <row r="33" customFormat="false" ht="18" hidden="false" customHeight="true" outlineLevel="0" collapsed="false">
      <c r="A33" s="11" t="str">
        <f aca="false">IF(G33&lt;&gt;"",ROW()-2,"")</f>
        <v/>
      </c>
      <c r="B33" s="29"/>
      <c r="C33" s="30"/>
      <c r="D33" s="30"/>
      <c r="E33" s="9" t="str">
        <f aca="false">IF(AND(C33&lt;&gt;"",D33&lt;&gt;""),INT((D33-C33)*1440),"")</f>
        <v/>
      </c>
      <c r="F33" s="31" t="str">
        <f aca="false">IF(G33="","",IF(LEFT(G33,2)="PP","Planificada",IF(LEFT(G33,3)="PNP","No Planificada","Desconocido")))</f>
        <v/>
      </c>
      <c r="G33" s="32"/>
      <c r="H33" s="20"/>
    </row>
    <row r="34" customFormat="false" ht="18" hidden="false" customHeight="true" outlineLevel="0" collapsed="false">
      <c r="A34" s="17" t="str">
        <f aca="false">IF(G34&lt;&gt;"",ROW()-2,"")</f>
        <v/>
      </c>
      <c r="B34" s="33"/>
      <c r="C34" s="34"/>
      <c r="D34" s="34"/>
      <c r="E34" s="9" t="str">
        <f aca="false">IF(AND(C34&lt;&gt;"",D34&lt;&gt;""),INT((D34-C34)*1440),"")</f>
        <v/>
      </c>
      <c r="F34" s="35" t="str">
        <f aca="false">IF(G34="","",IF(LEFT(G34,2)="PP","Planificada",IF(LEFT(G34,3)="PNP","No Planificada","Desconocido")))</f>
        <v/>
      </c>
      <c r="G34" s="32"/>
      <c r="H34" s="23"/>
    </row>
    <row r="35" customFormat="false" ht="18" hidden="false" customHeight="true" outlineLevel="0" collapsed="false">
      <c r="A35" s="11" t="str">
        <f aca="false">IF(G35&lt;&gt;"",ROW()-2,"")</f>
        <v/>
      </c>
      <c r="B35" s="29"/>
      <c r="C35" s="30"/>
      <c r="D35" s="30"/>
      <c r="E35" s="9" t="str">
        <f aca="false">IF(AND(C35&lt;&gt;"",D35&lt;&gt;""),INT((D35-C35)*1440),"")</f>
        <v/>
      </c>
      <c r="F35" s="31" t="str">
        <f aca="false">IF(G35="","",IF(LEFT(G35,2)="PP","Planificada",IF(LEFT(G35,3)="PNP","No Planificada","Desconocido")))</f>
        <v/>
      </c>
      <c r="G35" s="32"/>
      <c r="H35" s="20"/>
    </row>
    <row r="36" customFormat="false" ht="18" hidden="false" customHeight="true" outlineLevel="0" collapsed="false">
      <c r="A36" s="17" t="str">
        <f aca="false">IF(G36&lt;&gt;"",ROW()-2,"")</f>
        <v/>
      </c>
      <c r="B36" s="33"/>
      <c r="C36" s="34"/>
      <c r="D36" s="34"/>
      <c r="E36" s="9" t="str">
        <f aca="false">IF(AND(C36&lt;&gt;"",D36&lt;&gt;""),INT((D36-C36)*1440),"")</f>
        <v/>
      </c>
      <c r="F36" s="35" t="str">
        <f aca="false">IF(G36="","",IF(LEFT(G36,2)="PP","Planificada",IF(LEFT(G36,3)="PNP","No Planificada","Desconocido")))</f>
        <v/>
      </c>
      <c r="G36" s="32"/>
      <c r="H36" s="23"/>
    </row>
    <row r="37" customFormat="false" ht="18" hidden="false" customHeight="true" outlineLevel="0" collapsed="false">
      <c r="A37" s="11" t="str">
        <f aca="false">IF(G37&lt;&gt;"",ROW()-2,"")</f>
        <v/>
      </c>
      <c r="B37" s="29"/>
      <c r="C37" s="30"/>
      <c r="D37" s="30"/>
      <c r="E37" s="9" t="str">
        <f aca="false">IF(AND(C37&lt;&gt;"",D37&lt;&gt;""),INT((D37-C37)*1440),"")</f>
        <v/>
      </c>
      <c r="F37" s="31" t="str">
        <f aca="false">IF(G37="","",IF(LEFT(G37,2)="PP","Planificada",IF(LEFT(G37,3)="PNP","No Planificada","Desconocido")))</f>
        <v/>
      </c>
      <c r="G37" s="32"/>
      <c r="H37" s="20"/>
    </row>
    <row r="38" customFormat="false" ht="18" hidden="false" customHeight="true" outlineLevel="0" collapsed="false">
      <c r="A38" s="17" t="str">
        <f aca="false">IF(G38&lt;&gt;"",ROW()-2,"")</f>
        <v/>
      </c>
      <c r="B38" s="33"/>
      <c r="C38" s="34"/>
      <c r="D38" s="34"/>
      <c r="E38" s="9" t="str">
        <f aca="false">IF(AND(C38&lt;&gt;"",D38&lt;&gt;""),INT((D38-C38)*1440),"")</f>
        <v/>
      </c>
      <c r="F38" s="35" t="str">
        <f aca="false">IF(G38="","",IF(LEFT(G38,2)="PP","Planificada",IF(LEFT(G38,3)="PNP","No Planificada","Desconocido")))</f>
        <v/>
      </c>
      <c r="G38" s="32"/>
      <c r="H38" s="23"/>
    </row>
    <row r="39" customFormat="false" ht="18" hidden="false" customHeight="true" outlineLevel="0" collapsed="false">
      <c r="A39" s="11" t="str">
        <f aca="false">IF(G39&lt;&gt;"",ROW()-2,"")</f>
        <v/>
      </c>
      <c r="B39" s="29"/>
      <c r="C39" s="30"/>
      <c r="D39" s="30"/>
      <c r="E39" s="9" t="str">
        <f aca="false">IF(AND(C39&lt;&gt;"",D39&lt;&gt;""),INT((D39-C39)*1440),"")</f>
        <v/>
      </c>
      <c r="F39" s="31" t="str">
        <f aca="false">IF(G39="","",IF(LEFT(G39,2)="PP","Planificada",IF(LEFT(G39,3)="PNP","No Planificada","Desconocido")))</f>
        <v/>
      </c>
      <c r="G39" s="32"/>
      <c r="H39" s="20"/>
    </row>
    <row r="40" customFormat="false" ht="18" hidden="false" customHeight="true" outlineLevel="0" collapsed="false">
      <c r="A40" s="17" t="str">
        <f aca="false">IF(G40&lt;&gt;"",ROW()-2,"")</f>
        <v/>
      </c>
      <c r="B40" s="33"/>
      <c r="C40" s="34"/>
      <c r="D40" s="34"/>
      <c r="E40" s="9" t="str">
        <f aca="false">IF(AND(C40&lt;&gt;"",D40&lt;&gt;""),INT((D40-C40)*1440),"")</f>
        <v/>
      </c>
      <c r="F40" s="35" t="str">
        <f aca="false">IF(G40="","",IF(LEFT(G40,2)="PP","Planificada",IF(LEFT(G40,3)="PNP","No Planificada","Desconocido")))</f>
        <v/>
      </c>
      <c r="G40" s="32"/>
      <c r="H40" s="23"/>
    </row>
    <row r="41" customFormat="false" ht="18" hidden="false" customHeight="true" outlineLevel="0" collapsed="false">
      <c r="A41" s="11" t="str">
        <f aca="false">IF(G41&lt;&gt;"",ROW()-2,"")</f>
        <v/>
      </c>
      <c r="B41" s="29"/>
      <c r="C41" s="30"/>
      <c r="D41" s="30"/>
      <c r="E41" s="9" t="str">
        <f aca="false">IF(AND(C41&lt;&gt;"",D41&lt;&gt;""),INT((D41-C41)*1440),"")</f>
        <v/>
      </c>
      <c r="F41" s="31" t="str">
        <f aca="false">IF(G41="","",IF(LEFT(G41,2)="PP","Planificada",IF(LEFT(G41,3)="PNP","No Planificada","Desconocido")))</f>
        <v/>
      </c>
      <c r="G41" s="32"/>
      <c r="H41" s="20"/>
    </row>
    <row r="42" customFormat="false" ht="18" hidden="false" customHeight="true" outlineLevel="0" collapsed="false">
      <c r="A42" s="17" t="str">
        <f aca="false">IF(G42&lt;&gt;"",ROW()-2,"")</f>
        <v/>
      </c>
      <c r="B42" s="33"/>
      <c r="C42" s="34"/>
      <c r="D42" s="34"/>
      <c r="E42" s="9" t="str">
        <f aca="false">IF(AND(C42&lt;&gt;"",D42&lt;&gt;""),INT((D42-C42)*1440),"")</f>
        <v/>
      </c>
      <c r="F42" s="35" t="str">
        <f aca="false">IF(G42="","",IF(LEFT(G42,2)="PP","Planificada",IF(LEFT(G42,3)="PNP","No Planificada","Desconocido")))</f>
        <v/>
      </c>
      <c r="G42" s="32"/>
      <c r="H42" s="23"/>
    </row>
    <row r="43" customFormat="false" ht="18" hidden="false" customHeight="true" outlineLevel="0" collapsed="false">
      <c r="A43" s="11" t="str">
        <f aca="false">IF(G43&lt;&gt;"",ROW()-2,"")</f>
        <v/>
      </c>
      <c r="B43" s="29"/>
      <c r="C43" s="30"/>
      <c r="D43" s="30"/>
      <c r="E43" s="9" t="str">
        <f aca="false">IF(AND(C43&lt;&gt;"",D43&lt;&gt;""),INT((D43-C43)*1440),"")</f>
        <v/>
      </c>
      <c r="F43" s="31" t="str">
        <f aca="false">IF(G43="","",IF(LEFT(G43,2)="PP","Planificada",IF(LEFT(G43,3)="PNP","No Planificada","Desconocido")))</f>
        <v/>
      </c>
      <c r="G43" s="32"/>
      <c r="H43" s="20"/>
    </row>
    <row r="44" customFormat="false" ht="18" hidden="false" customHeight="true" outlineLevel="0" collapsed="false">
      <c r="A44" s="17" t="str">
        <f aca="false">IF(G44&lt;&gt;"",ROW()-2,"")</f>
        <v/>
      </c>
      <c r="B44" s="33"/>
      <c r="C44" s="34"/>
      <c r="D44" s="34"/>
      <c r="E44" s="9" t="str">
        <f aca="false">IF(AND(C44&lt;&gt;"",D44&lt;&gt;""),INT((D44-C44)*1440),"")</f>
        <v/>
      </c>
      <c r="F44" s="35" t="str">
        <f aca="false">IF(G44="","",IF(LEFT(G44,2)="PP","Planificada",IF(LEFT(G44,3)="PNP","No Planificada","Desconocido")))</f>
        <v/>
      </c>
      <c r="G44" s="32"/>
      <c r="H44" s="23"/>
    </row>
    <row r="45" customFormat="false" ht="18" hidden="false" customHeight="true" outlineLevel="0" collapsed="false">
      <c r="A45" s="11" t="str">
        <f aca="false">IF(G45&lt;&gt;"",ROW()-2,"")</f>
        <v/>
      </c>
      <c r="B45" s="29"/>
      <c r="C45" s="30"/>
      <c r="D45" s="30"/>
      <c r="E45" s="9" t="str">
        <f aca="false">IF(AND(C45&lt;&gt;"",D45&lt;&gt;""),INT((D45-C45)*1440),"")</f>
        <v/>
      </c>
      <c r="F45" s="31" t="str">
        <f aca="false">IF(G45="","",IF(LEFT(G45,2)="PP","Planificada",IF(LEFT(G45,3)="PNP","No Planificada","Desconocido")))</f>
        <v/>
      </c>
      <c r="G45" s="32"/>
      <c r="H45" s="20"/>
    </row>
    <row r="46" customFormat="false" ht="18" hidden="false" customHeight="true" outlineLevel="0" collapsed="false">
      <c r="A46" s="17" t="str">
        <f aca="false">IF(G46&lt;&gt;"",ROW()-2,"")</f>
        <v/>
      </c>
      <c r="B46" s="33"/>
      <c r="C46" s="34"/>
      <c r="D46" s="34"/>
      <c r="E46" s="9" t="str">
        <f aca="false">IF(AND(C46&lt;&gt;"",D46&lt;&gt;""),INT((D46-C46)*1440),"")</f>
        <v/>
      </c>
      <c r="F46" s="35" t="str">
        <f aca="false">IF(G46="","",IF(LEFT(G46,2)="PP","Planificada",IF(LEFT(G46,3)="PNP","No Planificada","Desconocido")))</f>
        <v/>
      </c>
      <c r="G46" s="32"/>
      <c r="H46" s="23"/>
    </row>
    <row r="47" customFormat="false" ht="18" hidden="false" customHeight="true" outlineLevel="0" collapsed="false">
      <c r="A47" s="11" t="str">
        <f aca="false">IF(G47&lt;&gt;"",ROW()-2,"")</f>
        <v/>
      </c>
      <c r="B47" s="29"/>
      <c r="C47" s="30"/>
      <c r="D47" s="30"/>
      <c r="E47" s="9" t="str">
        <f aca="false">IF(AND(C47&lt;&gt;"",D47&lt;&gt;""),INT((D47-C47)*1440),"")</f>
        <v/>
      </c>
      <c r="F47" s="31" t="str">
        <f aca="false">IF(G47="","",IF(LEFT(G47,2)="PP","Planificada",IF(LEFT(G47,3)="PNP","No Planificada","Desconocido")))</f>
        <v/>
      </c>
      <c r="G47" s="32"/>
      <c r="H47" s="20"/>
    </row>
    <row r="48" customFormat="false" ht="18" hidden="false" customHeight="true" outlineLevel="0" collapsed="false">
      <c r="A48" s="17" t="str">
        <f aca="false">IF(G48&lt;&gt;"",ROW()-2,"")</f>
        <v/>
      </c>
      <c r="B48" s="33"/>
      <c r="C48" s="34"/>
      <c r="D48" s="34"/>
      <c r="E48" s="9" t="str">
        <f aca="false">IF(AND(C48&lt;&gt;"",D48&lt;&gt;""),INT((D48-C48)*1440),"")</f>
        <v/>
      </c>
      <c r="F48" s="35" t="str">
        <f aca="false">IF(G48="","",IF(LEFT(G48,2)="PP","Planificada",IF(LEFT(G48,3)="PNP","No Planificada","Desconocido")))</f>
        <v/>
      </c>
      <c r="G48" s="32"/>
      <c r="H48" s="23"/>
    </row>
    <row r="49" customFormat="false" ht="18" hidden="false" customHeight="true" outlineLevel="0" collapsed="false">
      <c r="A49" s="11" t="str">
        <f aca="false">IF(G49&lt;&gt;"",ROW()-2,"")</f>
        <v/>
      </c>
      <c r="B49" s="29"/>
      <c r="C49" s="30"/>
      <c r="D49" s="30"/>
      <c r="E49" s="9" t="str">
        <f aca="false">IF(AND(C49&lt;&gt;"",D49&lt;&gt;""),INT((D49-C49)*1440),"")</f>
        <v/>
      </c>
      <c r="F49" s="31" t="str">
        <f aca="false">IF(G49="","",IF(LEFT(G49,2)="PP","Planificada",IF(LEFT(G49,3)="PNP","No Planificada","Desconocido")))</f>
        <v/>
      </c>
      <c r="G49" s="32"/>
      <c r="H49" s="20"/>
    </row>
    <row r="50" customFormat="false" ht="18" hidden="false" customHeight="true" outlineLevel="0" collapsed="false">
      <c r="A50" s="17" t="str">
        <f aca="false">IF(G50&lt;&gt;"",ROW()-2,"")</f>
        <v/>
      </c>
      <c r="B50" s="33"/>
      <c r="C50" s="34"/>
      <c r="D50" s="34"/>
      <c r="E50" s="9" t="str">
        <f aca="false">IF(AND(C50&lt;&gt;"",D50&lt;&gt;""),INT((D50-C50)*1440),"")</f>
        <v/>
      </c>
      <c r="F50" s="35" t="str">
        <f aca="false">IF(G50="","",IF(LEFT(G50,2)="PP","Planificada",IF(LEFT(G50,3)="PNP","No Planificada","Desconocido")))</f>
        <v/>
      </c>
      <c r="G50" s="32"/>
      <c r="H50" s="23"/>
    </row>
    <row r="51" customFormat="false" ht="18" hidden="false" customHeight="true" outlineLevel="0" collapsed="false">
      <c r="A51" s="11" t="str">
        <f aca="false">IF(G51&lt;&gt;"",ROW()-2,"")</f>
        <v/>
      </c>
      <c r="B51" s="29"/>
      <c r="C51" s="30"/>
      <c r="D51" s="30"/>
      <c r="E51" s="9" t="str">
        <f aca="false">IF(AND(C51&lt;&gt;"",D51&lt;&gt;""),INT((D51-C51)*1440),"")</f>
        <v/>
      </c>
      <c r="F51" s="31" t="str">
        <f aca="false">IF(G51="","",IF(LEFT(G51,2)="PP","Planificada",IF(LEFT(G51,3)="PNP","No Planificada","Desconocido")))</f>
        <v/>
      </c>
      <c r="G51" s="32"/>
      <c r="H51" s="20"/>
    </row>
    <row r="52" customFormat="false" ht="18" hidden="false" customHeight="true" outlineLevel="0" collapsed="false">
      <c r="A52" s="17" t="str">
        <f aca="false">IF(G52&lt;&gt;"",ROW()-2,"")</f>
        <v/>
      </c>
      <c r="B52" s="33"/>
      <c r="C52" s="34"/>
      <c r="D52" s="34"/>
      <c r="E52" s="9" t="str">
        <f aca="false">IF(AND(C52&lt;&gt;"",D52&lt;&gt;""),INT((D52-C52)*1440),"")</f>
        <v/>
      </c>
      <c r="F52" s="35" t="str">
        <f aca="false">IF(G52="","",IF(LEFT(G52,2)="PP","Planificada",IF(LEFT(G52,3)="PNP","No Planificada","Desconocido")))</f>
        <v/>
      </c>
      <c r="G52" s="32"/>
      <c r="H52" s="23"/>
    </row>
    <row r="53" customFormat="false" ht="15" hidden="false" customHeight="true" outlineLevel="0" collapsed="false">
      <c r="A53" s="36" t="s">
        <v>57</v>
      </c>
      <c r="B53" s="36"/>
      <c r="C53" s="36"/>
      <c r="D53" s="36"/>
      <c r="E53" s="37" t="n">
        <f aca="false">SUM(E3:E52)</f>
        <v>0</v>
      </c>
      <c r="F53" s="38"/>
      <c r="G53" s="38"/>
      <c r="H53" s="38"/>
    </row>
    <row r="55" customFormat="false" ht="15" hidden="false" customHeight="true" outlineLevel="0" collapsed="false">
      <c r="A55" s="26" t="s">
        <v>58</v>
      </c>
      <c r="B55" s="26"/>
      <c r="C55" s="26"/>
      <c r="D55" s="26"/>
      <c r="E55" s="26"/>
      <c r="F55" s="26"/>
      <c r="G55" s="26"/>
      <c r="H55" s="26"/>
    </row>
  </sheetData>
  <mergeCells count="3">
    <mergeCell ref="A1:H1"/>
    <mergeCell ref="A53:D53"/>
    <mergeCell ref="A55:H55"/>
  </mergeCells>
  <dataValidations count="1">
    <dataValidation allowBlank="true" error="Use los códigos definidos en la hoja Diccionario_Codigos" errorStyle="stop" errorTitle="Código Inválido" operator="between" showDropDown="false" showErrorMessage="true" showInputMessage="false" sqref="G3:G1000" type="list">
      <formula1>"PP01,PP02,PP03,PP04,PP05,PNP-M01,PNP-M02,PNP-M03,PNP-N01,PNP-L01,PNP-R01,PNP-E01,PNP-O01"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24.75" hidden="false" customHeight="true" outlineLevel="0" collapsed="false">
      <c r="A1" s="27" t="s">
        <v>59</v>
      </c>
      <c r="B1" s="27"/>
      <c r="C1" s="27"/>
      <c r="D1" s="27"/>
    </row>
    <row r="2" customFormat="false" ht="19.5" hidden="false" customHeight="true" outlineLevel="0" collapsed="false">
      <c r="A2" s="28" t="s">
        <v>34</v>
      </c>
      <c r="B2" s="28" t="s">
        <v>60</v>
      </c>
      <c r="C2" s="28" t="s">
        <v>61</v>
      </c>
      <c r="D2" s="28" t="s">
        <v>62</v>
      </c>
    </row>
    <row r="3" customFormat="false" ht="18" hidden="false" customHeight="true" outlineLevel="0" collapsed="false">
      <c r="A3" s="39" t="s">
        <v>63</v>
      </c>
      <c r="B3" s="39"/>
      <c r="C3" s="39"/>
      <c r="D3" s="39"/>
    </row>
    <row r="4" customFormat="false" ht="36" hidden="false" customHeight="true" outlineLevel="0" collapsed="false">
      <c r="A4" s="40" t="s">
        <v>64</v>
      </c>
      <c r="B4" s="41" t="s">
        <v>65</v>
      </c>
      <c r="C4" s="41" t="s">
        <v>66</v>
      </c>
      <c r="D4" s="41" t="s">
        <v>67</v>
      </c>
    </row>
    <row r="5" customFormat="false" ht="36" hidden="false" customHeight="true" outlineLevel="0" collapsed="false">
      <c r="A5" s="40" t="s">
        <v>68</v>
      </c>
      <c r="B5" s="41" t="s">
        <v>69</v>
      </c>
      <c r="C5" s="41" t="s">
        <v>70</v>
      </c>
      <c r="D5" s="41" t="s">
        <v>67</v>
      </c>
    </row>
    <row r="6" customFormat="false" ht="36" hidden="false" customHeight="true" outlineLevel="0" collapsed="false">
      <c r="A6" s="40" t="s">
        <v>71</v>
      </c>
      <c r="B6" s="41" t="s">
        <v>72</v>
      </c>
      <c r="C6" s="41" t="s">
        <v>73</v>
      </c>
      <c r="D6" s="41" t="s">
        <v>67</v>
      </c>
    </row>
    <row r="7" customFormat="false" ht="36" hidden="false" customHeight="true" outlineLevel="0" collapsed="false">
      <c r="A7" s="40" t="s">
        <v>74</v>
      </c>
      <c r="B7" s="41" t="s">
        <v>75</v>
      </c>
      <c r="C7" s="41" t="s">
        <v>76</v>
      </c>
      <c r="D7" s="41" t="s">
        <v>67</v>
      </c>
    </row>
    <row r="8" customFormat="false" ht="36" hidden="false" customHeight="true" outlineLevel="0" collapsed="false">
      <c r="A8" s="40" t="s">
        <v>77</v>
      </c>
      <c r="B8" s="41" t="s">
        <v>78</v>
      </c>
      <c r="C8" s="41" t="s">
        <v>79</v>
      </c>
      <c r="D8" s="41" t="s">
        <v>67</v>
      </c>
    </row>
    <row r="9" customFormat="false" ht="18" hidden="false" customHeight="true" outlineLevel="0" collapsed="false">
      <c r="A9" s="42" t="s">
        <v>80</v>
      </c>
      <c r="B9" s="42"/>
      <c r="C9" s="42"/>
      <c r="D9" s="42"/>
    </row>
    <row r="10" customFormat="false" ht="36" hidden="false" customHeight="true" outlineLevel="0" collapsed="false">
      <c r="A10" s="43" t="s">
        <v>39</v>
      </c>
      <c r="B10" s="44" t="s">
        <v>81</v>
      </c>
      <c r="C10" s="44" t="s">
        <v>82</v>
      </c>
      <c r="D10" s="44" t="s">
        <v>83</v>
      </c>
    </row>
    <row r="11" customFormat="false" ht="36" hidden="false" customHeight="true" outlineLevel="0" collapsed="false">
      <c r="A11" s="43" t="s">
        <v>40</v>
      </c>
      <c r="B11" s="44" t="s">
        <v>84</v>
      </c>
      <c r="C11" s="44" t="s">
        <v>85</v>
      </c>
      <c r="D11" s="44" t="s">
        <v>83</v>
      </c>
    </row>
    <row r="12" customFormat="false" ht="36" hidden="false" customHeight="true" outlineLevel="0" collapsed="false">
      <c r="A12" s="43" t="s">
        <v>41</v>
      </c>
      <c r="B12" s="44" t="s">
        <v>86</v>
      </c>
      <c r="C12" s="44" t="s">
        <v>87</v>
      </c>
      <c r="D12" s="44" t="s">
        <v>83</v>
      </c>
    </row>
    <row r="13" customFormat="false" ht="36" hidden="false" customHeight="true" outlineLevel="0" collapsed="false">
      <c r="A13" s="43" t="s">
        <v>42</v>
      </c>
      <c r="B13" s="44" t="s">
        <v>88</v>
      </c>
      <c r="C13" s="44" t="s">
        <v>89</v>
      </c>
      <c r="D13" s="44" t="s">
        <v>83</v>
      </c>
    </row>
    <row r="14" customFormat="false" ht="36" hidden="false" customHeight="true" outlineLevel="0" collapsed="false">
      <c r="A14" s="43" t="s">
        <v>43</v>
      </c>
      <c r="B14" s="44" t="s">
        <v>90</v>
      </c>
      <c r="C14" s="44" t="s">
        <v>91</v>
      </c>
      <c r="D14" s="44" t="s">
        <v>83</v>
      </c>
    </row>
    <row r="15" customFormat="false" ht="36" hidden="false" customHeight="true" outlineLevel="0" collapsed="false">
      <c r="A15" s="43" t="s">
        <v>44</v>
      </c>
      <c r="B15" s="44" t="s">
        <v>92</v>
      </c>
      <c r="C15" s="44" t="s">
        <v>93</v>
      </c>
      <c r="D15" s="44" t="s">
        <v>83</v>
      </c>
    </row>
    <row r="16" customFormat="false" ht="36" hidden="false" customHeight="true" outlineLevel="0" collapsed="false">
      <c r="A16" s="43" t="s">
        <v>45</v>
      </c>
      <c r="B16" s="44" t="s">
        <v>94</v>
      </c>
      <c r="C16" s="44" t="s">
        <v>95</v>
      </c>
      <c r="D16" s="44" t="s">
        <v>83</v>
      </c>
    </row>
    <row r="17" customFormat="false" ht="36" hidden="false" customHeight="true" outlineLevel="0" collapsed="false">
      <c r="A17" s="43" t="s">
        <v>46</v>
      </c>
      <c r="B17" s="44" t="s">
        <v>96</v>
      </c>
      <c r="C17" s="44" t="s">
        <v>97</v>
      </c>
      <c r="D17" s="44" t="s">
        <v>83</v>
      </c>
    </row>
  </sheetData>
  <mergeCells count="3">
    <mergeCell ref="A1:D1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24.75" hidden="false" customHeight="true" outlineLevel="0" collapsed="false">
      <c r="A1" s="27" t="s">
        <v>98</v>
      </c>
      <c r="B1" s="27"/>
      <c r="C1" s="27"/>
      <c r="D1" s="27"/>
      <c r="E1" s="27"/>
      <c r="F1" s="27"/>
    </row>
    <row r="2" customFormat="false" ht="22.35" hidden="false" customHeight="true" outlineLevel="0" collapsed="false">
      <c r="A2" s="26" t="s">
        <v>99</v>
      </c>
      <c r="B2" s="26"/>
      <c r="C2" s="26"/>
      <c r="D2" s="26"/>
      <c r="E2" s="26"/>
      <c r="F2" s="26"/>
    </row>
    <row r="3" customFormat="false" ht="31.5" hidden="false" customHeight="true" outlineLevel="0" collapsed="false">
      <c r="A3" s="45" t="s">
        <v>100</v>
      </c>
      <c r="B3" s="45" t="s">
        <v>101</v>
      </c>
      <c r="C3" s="45" t="s">
        <v>102</v>
      </c>
      <c r="D3" s="45" t="s">
        <v>103</v>
      </c>
      <c r="E3" s="45" t="s">
        <v>104</v>
      </c>
      <c r="F3" s="45" t="s">
        <v>105</v>
      </c>
    </row>
    <row r="4" customFormat="false" ht="19.5" hidden="false" customHeight="true" outlineLevel="0" collapsed="false">
      <c r="A4" s="31" t="s">
        <v>39</v>
      </c>
      <c r="B4" s="20" t="str">
        <f aca="false">IFERROR(VLOOKUP(A4,Diccionario_Codigos!$A:$B,2,0),"")</f>
        <v>Husillo / Spindle (Inline Motor)</v>
      </c>
      <c r="C4" s="21" t="n">
        <f aca="false">COUNTIF(Registro_Paradas!$G:$G,A4)</f>
        <v>0</v>
      </c>
      <c r="D4" s="21" t="n">
        <f aca="false">SUMIF(Registro_Paradas!$G:$G,A4,Registro_Paradas!$E:$E)</f>
        <v>0</v>
      </c>
      <c r="E4" s="14" t="n">
        <f aca="false">IFERROR(D4/SUM($D$4:$D$11),0)</f>
        <v>0</v>
      </c>
      <c r="F4" s="46" t="n">
        <f aca="false">E4</f>
        <v>0</v>
      </c>
    </row>
    <row r="5" customFormat="false" ht="19.5" hidden="false" customHeight="true" outlineLevel="0" collapsed="false">
      <c r="A5" s="35" t="s">
        <v>40</v>
      </c>
      <c r="B5" s="23" t="str">
        <f aca="false">IFERROR(VLOOKUP(A5,Diccionario_Codigos!$A:$B,2,0),"")</f>
        <v>Ejes y Guías Lineales X / Y / Z</v>
      </c>
      <c r="C5" s="24" t="n">
        <f aca="false">COUNTIF(Registro_Paradas!$G:$G,A5)</f>
        <v>0</v>
      </c>
      <c r="D5" s="24" t="n">
        <f aca="false">SUMIF(Registro_Paradas!$G:$G,A5,Registro_Paradas!$E:$E)</f>
        <v>0</v>
      </c>
      <c r="E5" s="14" t="n">
        <f aca="false">IFERROR(D5/SUM($D$4:$D$11),0)</f>
        <v>0</v>
      </c>
      <c r="F5" s="46" t="n">
        <f aca="false">F4+E5</f>
        <v>0</v>
      </c>
    </row>
    <row r="6" customFormat="false" ht="19.5" hidden="false" customHeight="true" outlineLevel="0" collapsed="false">
      <c r="A6" s="31" t="s">
        <v>41</v>
      </c>
      <c r="B6" s="20" t="str">
        <f aca="false">IFERROR(VLOOKUP(A6,Diccionario_Codigos!$A:$B,2,0),"")</f>
        <v>ATC — Cambiador Automático 30 pos.</v>
      </c>
      <c r="C6" s="21" t="n">
        <f aca="false">COUNTIF(Registro_Paradas!$G:$G,A6)</f>
        <v>0</v>
      </c>
      <c r="D6" s="21" t="n">
        <f aca="false">SUMIF(Registro_Paradas!$G:$G,A6,Registro_Paradas!$E:$E)</f>
        <v>0</v>
      </c>
      <c r="E6" s="14" t="n">
        <f aca="false">IFERROR(D6/SUM($D$4:$D$11),0)</f>
        <v>0</v>
      </c>
      <c r="F6" s="46" t="n">
        <f aca="false">F5+E6</f>
        <v>0</v>
      </c>
    </row>
    <row r="7" customFormat="false" ht="19.5" hidden="false" customHeight="true" outlineLevel="0" collapsed="false">
      <c r="A7" s="35" t="s">
        <v>42</v>
      </c>
      <c r="B7" s="23" t="str">
        <f aca="false">IFERROR(VLOOKUP(A7,Diccionario_Codigos!$A:$B,2,0),"")</f>
        <v>Sistema Neumático — Presión &lt; 6 bar</v>
      </c>
      <c r="C7" s="24" t="n">
        <f aca="false">COUNTIF(Registro_Paradas!$G:$G,A7)</f>
        <v>0</v>
      </c>
      <c r="D7" s="24" t="n">
        <f aca="false">SUMIF(Registro_Paradas!$G:$G,A7,Registro_Paradas!$E:$E)</f>
        <v>0</v>
      </c>
      <c r="E7" s="14" t="n">
        <f aca="false">IFERROR(D7/SUM($D$4:$D$11),0)</f>
        <v>0</v>
      </c>
      <c r="F7" s="47" t="n">
        <f aca="false">F6+E7</f>
        <v>0</v>
      </c>
    </row>
    <row r="8" customFormat="false" ht="19.5" hidden="false" customHeight="true" outlineLevel="0" collapsed="false">
      <c r="A8" s="31" t="s">
        <v>43</v>
      </c>
      <c r="B8" s="20" t="str">
        <f aca="false">IFERROR(VLOOKUP(A8,Diccionario_Codigos!$A:$B,2,0),"")</f>
        <v>Lubricación Centralizada Automática</v>
      </c>
      <c r="C8" s="21" t="n">
        <f aca="false">COUNTIF(Registro_Paradas!$G:$G,A8)</f>
        <v>0</v>
      </c>
      <c r="D8" s="21" t="n">
        <f aca="false">SUMIF(Registro_Paradas!$G:$G,A8,Registro_Paradas!$E:$E)</f>
        <v>0</v>
      </c>
      <c r="E8" s="14" t="n">
        <f aca="false">IFERROR(D8/SUM($D$4:$D$11),0)</f>
        <v>0</v>
      </c>
      <c r="F8" s="48" t="n">
        <f aca="false">F7+E8</f>
        <v>0</v>
      </c>
    </row>
    <row r="9" customFormat="false" ht="19.5" hidden="false" customHeight="true" outlineLevel="0" collapsed="false">
      <c r="A9" s="35" t="s">
        <v>44</v>
      </c>
      <c r="B9" s="23" t="str">
        <f aca="false">IFERROR(VLOOKUP(A9,Diccionario_Codigos!$A:$B,2,0),"")</f>
        <v>Extractor Virutas / Refrigerante</v>
      </c>
      <c r="C9" s="24" t="n">
        <f aca="false">COUNTIF(Registro_Paradas!$G:$G,A9)</f>
        <v>0</v>
      </c>
      <c r="D9" s="24" t="n">
        <f aca="false">SUMIF(Registro_Paradas!$G:$G,A9,Registro_Paradas!$E:$E)</f>
        <v>0</v>
      </c>
      <c r="E9" s="14" t="n">
        <f aca="false">IFERROR(D9/SUM($D$4:$D$11),0)</f>
        <v>0</v>
      </c>
      <c r="F9" s="47" t="n">
        <f aca="false">F8+E9</f>
        <v>0</v>
      </c>
    </row>
    <row r="10" customFormat="false" ht="19.5" hidden="false" customHeight="true" outlineLevel="0" collapsed="false">
      <c r="A10" s="31" t="s">
        <v>45</v>
      </c>
      <c r="B10" s="20" t="str">
        <f aca="false">IFERROR(VLOOKUP(A10,Diccionario_Codigos!$A:$B,2,0),"")</f>
        <v>Parada Emergencia / Seguridad Puertas</v>
      </c>
      <c r="C10" s="21" t="n">
        <f aca="false">COUNTIF(Registro_Paradas!$G:$G,A10)</f>
        <v>0</v>
      </c>
      <c r="D10" s="21" t="n">
        <f aca="false">SUMIF(Registro_Paradas!$G:$G,A10,Registro_Paradas!$E:$E)</f>
        <v>0</v>
      </c>
      <c r="E10" s="14" t="n">
        <f aca="false">IFERROR(D10/SUM($D$4:$D$11),0)</f>
        <v>0</v>
      </c>
      <c r="F10" s="48" t="n">
        <f aca="false">F9+E10</f>
        <v>0</v>
      </c>
    </row>
    <row r="11" customFormat="false" ht="19.5" hidden="false" customHeight="true" outlineLevel="0" collapsed="false">
      <c r="A11" s="35" t="s">
        <v>46</v>
      </c>
      <c r="B11" s="23" t="str">
        <f aca="false">IFERROR(VLOOKUP(A11,Diccionario_Codigos!$A:$B,2,0),"")</f>
        <v>Error Programación / Código G</v>
      </c>
      <c r="C11" s="24" t="n">
        <f aca="false">COUNTIF(Registro_Paradas!$G:$G,A11)</f>
        <v>0</v>
      </c>
      <c r="D11" s="24" t="n">
        <f aca="false">SUMIF(Registro_Paradas!$G:$G,A11,Registro_Paradas!$E:$E)</f>
        <v>0</v>
      </c>
      <c r="E11" s="14" t="n">
        <f aca="false">IFERROR(D11/SUM($D$4:$D$11),0)</f>
        <v>0</v>
      </c>
      <c r="F11" s="47" t="n">
        <f aca="false">F10+E11</f>
        <v>0</v>
      </c>
    </row>
    <row r="12" customFormat="false" ht="15" hidden="false" customHeight="true" outlineLevel="0" collapsed="false">
      <c r="A12" s="36" t="s">
        <v>106</v>
      </c>
      <c r="B12" s="36"/>
      <c r="C12" s="49" t="n">
        <f aca="false">SUM(C4:C11)</f>
        <v>0</v>
      </c>
      <c r="D12" s="49" t="n">
        <f aca="false">SUM(D4:D11)</f>
        <v>0</v>
      </c>
      <c r="E12" s="50" t="n">
        <f aca="false">SUM(E4:E11)</f>
        <v>0</v>
      </c>
      <c r="F12" s="45"/>
    </row>
    <row r="14" customFormat="false" ht="30" hidden="false" customHeight="true" outlineLevel="0" collapsed="false">
      <c r="A14" s="51" t="s">
        <v>107</v>
      </c>
      <c r="B14" s="51"/>
      <c r="C14" s="51"/>
      <c r="D14" s="51"/>
      <c r="E14" s="51"/>
      <c r="F14" s="51"/>
    </row>
    <row r="15" customFormat="false" ht="39.75" hidden="false" customHeight="true" outlineLevel="0" collapsed="false">
      <c r="A15" s="52" t="s">
        <v>108</v>
      </c>
      <c r="B15" s="52"/>
      <c r="C15" s="52"/>
      <c r="D15" s="52"/>
      <c r="E15" s="52"/>
      <c r="F15" s="52"/>
    </row>
    <row r="16" customFormat="false" ht="15" hidden="false" customHeight="false" outlineLevel="0" collapsed="false">
      <c r="A16" s="52"/>
      <c r="B16" s="52"/>
      <c r="C16" s="52"/>
      <c r="D16" s="52"/>
      <c r="E16" s="52"/>
      <c r="F16" s="52"/>
    </row>
  </sheetData>
  <mergeCells count="5">
    <mergeCell ref="A1:F1"/>
    <mergeCell ref="A2:F2"/>
    <mergeCell ref="A12:B12"/>
    <mergeCell ref="A14:F14"/>
    <mergeCell ref="A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2026-05-26T20:28:16Z</dcterms:created>
  <dc:creator>openpyxl</dc:creator>
  <dc:description/>
  <dc:language>en-US</dc:language>
  <cp:lastModifiedBy/>
  <dcterms:modified xsi:type="dcterms:W3CDTF">2026-05-26T20:28:17Z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